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ridhar\Downloads\"/>
    </mc:Choice>
  </mc:AlternateContent>
  <xr:revisionPtr revIDLastSave="0" documentId="13_ncr:1_{129C9458-6B10-4702-840C-51CEA56C18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ment of Work" sheetId="2" r:id="rId1"/>
    <sheet name="Hidden Doc" sheetId="3" r:id="rId2"/>
  </sheets>
  <definedNames>
    <definedName name="ColumnTitle1" localSheetId="0">Expense3[[#Headers],[Date]]</definedName>
    <definedName name="ColumnTitle1">#REF!</definedName>
    <definedName name="Mileage_Total" localSheetId="0">Expense3[[#Totals],[Mileage/KM]]</definedName>
    <definedName name="Mileage_Total">#REF!</definedName>
    <definedName name="_xlnm.Print_Area" localSheetId="0">'Statement of Work'!$B$1:$J$16</definedName>
    <definedName name="_xlnm.Print_Titles" localSheetId="0">'Statement of Work'!$1:$4</definedName>
    <definedName name="Reimbursement_Total" localSheetId="0">Expense3[[#Totals],[Reimbursement]]</definedName>
    <definedName name="Reimbursement_Total">#REF!</definedName>
    <definedName name="RowTitleRegion1..C6" localSheetId="0">'Statement of Work'!#REF!</definedName>
    <definedName name="RowTitleRegion1..C6">#REF!</definedName>
    <definedName name="RowTitleRegion2..E6" localSheetId="0">'Statement of Work'!#REF!</definedName>
    <definedName name="RowTitleRegion2..E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2" l="1"/>
  <c r="J9" i="2"/>
  <c r="J6" i="2"/>
  <c r="J5" i="2"/>
  <c r="J7" i="2"/>
  <c r="J12" i="2"/>
  <c r="J11" i="2"/>
  <c r="J10" i="2"/>
  <c r="D11" i="2" l="1"/>
  <c r="D5" i="2" l="1"/>
  <c r="D7" i="2" l="1"/>
  <c r="D6" i="2" l="1"/>
  <c r="D10" i="2"/>
  <c r="I13" i="2" l="1"/>
  <c r="I14" i="2"/>
  <c r="I15" i="2"/>
  <c r="D8" i="2" l="1"/>
  <c r="D9" i="2"/>
  <c r="D12" i="2"/>
  <c r="J13" i="2" l="1"/>
  <c r="J15" i="2" l="1"/>
  <c r="J14" i="2"/>
  <c r="J16" i="2" l="1"/>
  <c r="J2" i="2" s="1"/>
</calcChain>
</file>

<file path=xl/sharedStrings.xml><?xml version="1.0" encoding="utf-8"?>
<sst xmlns="http://schemas.openxmlformats.org/spreadsheetml/2006/main" count="197" uniqueCount="90">
  <si>
    <t>Reimbursement</t>
  </si>
  <si>
    <t>Mileage</t>
  </si>
  <si>
    <t>Date</t>
  </si>
  <si>
    <t>Single Day Expense</t>
  </si>
  <si>
    <t>SUBTOTAL</t>
  </si>
  <si>
    <t>TOTAL</t>
  </si>
  <si>
    <t>SOS Inventory Creation</t>
  </si>
  <si>
    <t>Airfare</t>
  </si>
  <si>
    <t>Rental Car/Parking/Tolls</t>
  </si>
  <si>
    <t>Accommodation</t>
  </si>
  <si>
    <t>Miscellaneous</t>
  </si>
  <si>
    <t>Post Claim Modifications</t>
  </si>
  <si>
    <t>Post Claim Processing and adjustments on request, if necessary</t>
  </si>
  <si>
    <t>Mileage/KM</t>
  </si>
  <si>
    <t>Hours</t>
  </si>
  <si>
    <t>Expense Category</t>
  </si>
  <si>
    <t>Andre Bourgoin-Horne</t>
  </si>
  <si>
    <t>Sarah York</t>
  </si>
  <si>
    <t>Description</t>
  </si>
  <si>
    <t>Notes</t>
  </si>
  <si>
    <t>Province</t>
  </si>
  <si>
    <t>Alberta</t>
  </si>
  <si>
    <t>Edgar Nieva</t>
  </si>
  <si>
    <t>Genevieve Aube</t>
  </si>
  <si>
    <t>Italia Martinez</t>
  </si>
  <si>
    <t>Natalija Palacolo</t>
  </si>
  <si>
    <t>438-223-3609</t>
  </si>
  <si>
    <t>306-502-2136</t>
  </si>
  <si>
    <t>438-920-0342</t>
  </si>
  <si>
    <t>289-921-9242</t>
  </si>
  <si>
    <t>289-659-5184</t>
  </si>
  <si>
    <t>587-921-5398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</si>
  <si>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</si>
  <si>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</si>
  <si>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</si>
  <si>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</si>
  <si>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</si>
  <si>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</si>
  <si>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</si>
  <si>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</si>
  <si>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</si>
  <si>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Northwest Territories</t>
  </si>
  <si>
    <t>Nunavut</t>
  </si>
  <si>
    <t>Yukon</t>
  </si>
  <si>
    <t>List Assist/Reporting and Communications</t>
  </si>
  <si>
    <t>Arpitha Ravishankar</t>
  </si>
  <si>
    <t>Rida Rizvi</t>
  </si>
  <si>
    <t>Quantity</t>
  </si>
  <si>
    <t>416-498-2970</t>
  </si>
  <si>
    <t>PPE &amp; Supplies</t>
  </si>
  <si>
    <t>HST/GST</t>
  </si>
  <si>
    <t>PST</t>
  </si>
  <si>
    <t>Rate</t>
  </si>
  <si>
    <t>Stewart Tarrant</t>
  </si>
  <si>
    <t>437-774-3658</t>
  </si>
  <si>
    <t>Extended Daily Expenses</t>
  </si>
  <si>
    <t>Travel Time</t>
  </si>
  <si>
    <t>Select Specialty</t>
  </si>
  <si>
    <t>Exceeds 50Km Round Trip</t>
  </si>
  <si>
    <t>Round Trip Travel Time</t>
  </si>
  <si>
    <t>Submitted Receipts value only</t>
  </si>
  <si>
    <t>Blank</t>
  </si>
  <si>
    <t>Receipt Tracking/Recoverable Depreciation Reconciliation</t>
  </si>
  <si>
    <t>Available upon request</t>
  </si>
  <si>
    <t>Appraisal Estimate</t>
  </si>
  <si>
    <t>Specialty Valuation-for items requiring expertise</t>
  </si>
  <si>
    <t>Service On Site - attendance for inventory creation and documentation</t>
  </si>
  <si>
    <t>Listing and working with policy holder including labelling and generation of the SOL and all reports</t>
  </si>
  <si>
    <t>REP NAME</t>
  </si>
  <si>
    <t>PHONE</t>
  </si>
  <si>
    <t>EXPENSE CATEGORY</t>
  </si>
  <si>
    <t>DESCRIPTION</t>
  </si>
  <si>
    <t>PROVINCE</t>
  </si>
  <si>
    <t>GST/HST</t>
  </si>
  <si>
    <t>Special Notes:</t>
  </si>
  <si>
    <t xml:space="preserve"> Billing Details </t>
  </si>
  <si>
    <t>SOW REFERENCE</t>
  </si>
  <si>
    <t>FEE BUDGET REFERENCE</t>
  </si>
  <si>
    <t>Total number of estimated lines at $0.00 per line.</t>
  </si>
  <si>
    <t>437-900-6252</t>
  </si>
  <si>
    <t>Andrew Widdowson</t>
  </si>
  <si>
    <t>416-498-3777</t>
  </si>
  <si>
    <t>On-site expenses</t>
  </si>
  <si>
    <t>Per Diem Per Appraiser</t>
  </si>
  <si>
    <t>P100 Combo Filter - 1 x $60 ea, 
Tyvek Coveralls - 1 x $15 ea,
Nitrile Glove - 1 x $2 pr, 
N95 Mask - 1 x $5 ea,</t>
  </si>
  <si>
    <t>Rate*Hour</t>
  </si>
  <si>
    <t>Rate*Mileage</t>
  </si>
  <si>
    <t>Rate Direct</t>
  </si>
  <si>
    <t>Total</t>
  </si>
  <si>
    <t>April 1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</si>
</sst>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0.000"/>
  </numFmts>
  <fonts count="17" x14ac:knownFonts="1">
    <font>
      <sz val="11"/>
      <name val="Arial"/>
      <family val="2"/>
    </font>
    <font>
      <sz val="11"/>
      <name val="Arial"/>
      <family val="2"/>
    </font>
    <font>
      <b/>
      <sz val="11"/>
      <name val="Franklin Gothic Book"/>
      <family val="2"/>
      <scheme val="minor"/>
    </font>
    <font>
      <b/>
      <sz val="18"/>
      <color theme="1" tint="0.24994659260841701"/>
      <name val="Constantia"/>
      <family val="2"/>
      <scheme val="major"/>
    </font>
    <font>
      <sz val="11"/>
      <name val="Franklin Gothic Book"/>
      <family val="2"/>
      <scheme val="minor"/>
    </font>
    <font>
      <sz val="11"/>
      <color theme="1"/>
      <name val="Arial"/>
      <family val="2"/>
    </font>
    <font>
      <b/>
      <sz val="11"/>
      <name val="Constantia"/>
      <family val="1"/>
      <scheme val="major"/>
    </font>
    <font>
      <b/>
      <sz val="11"/>
      <name val="Arial"/>
      <family val="2"/>
    </font>
    <font>
      <b/>
      <sz val="14"/>
      <color theme="1" tint="0.249977111117893"/>
      <name val="Constantia"/>
      <family val="1"/>
      <scheme val="major"/>
    </font>
    <font>
      <sz val="14"/>
      <name val="Arial"/>
      <family val="2"/>
    </font>
    <font>
      <b/>
      <sz val="14"/>
      <color theme="0"/>
      <name val="Constantia"/>
      <family val="1"/>
      <scheme val="major"/>
    </font>
    <font>
      <sz val="8"/>
      <name val="Arial"/>
      <family val="2"/>
    </font>
    <font>
      <b/>
      <sz val="14"/>
      <name val="Constantia"/>
      <family val="1"/>
      <scheme val="major"/>
    </font>
    <font>
      <sz val="11"/>
      <color rgb="FFFF0000"/>
      <name val="Arial"/>
      <family val="2"/>
    </font>
    <font>
      <b/>
      <sz val="18"/>
      <name val="Arial"/>
      <family val="2"/>
    </font>
    <font>
      <b/>
      <sz val="18"/>
      <color theme="1" tint="0.249977111117893"/>
      <name val="Constantia"/>
      <family val="1"/>
      <scheme val="major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>
      <alignment wrapText="1"/>
    </xf>
    <xf numFmtId="43" fontId="1" fillId="0" borderId="0" applyFill="0" applyBorder="0" applyAlignment="0" applyProtection="0"/>
    <xf numFmtId="41" fontId="1" fillId="0" borderId="0" applyFill="0" applyBorder="0" applyAlignment="0" applyProtection="0"/>
    <xf numFmtId="164" fontId="1" fillId="0" borderId="0" applyFont="0" applyFill="0" applyBorder="0" applyProtection="0">
      <alignment horizontal="right"/>
    </xf>
    <xf numFmtId="42" fontId="1" fillId="0" borderId="0" applyFill="0" applyBorder="0" applyAlignment="0" applyProtection="0"/>
    <xf numFmtId="9" fontId="1" fillId="0" borderId="0" applyFill="0" applyBorder="0" applyAlignment="0" applyProtection="0"/>
    <xf numFmtId="0" fontId="3" fillId="0" borderId="0" applyNumberFormat="0" applyFill="0" applyBorder="0" applyProtection="0">
      <alignment horizontal="left" indent="1"/>
    </xf>
    <xf numFmtId="0" fontId="2" fillId="0" borderId="0" applyNumberFormat="0" applyFill="0" applyProtection="0">
      <alignment horizontal="right" indent="1"/>
    </xf>
    <xf numFmtId="0" fontId="2" fillId="0" borderId="1" applyNumberFormat="0" applyFill="0" applyAlignment="0" applyProtection="0"/>
    <xf numFmtId="14" fontId="4" fillId="0" borderId="0" applyFill="0" applyProtection="0">
      <alignment horizontal="center"/>
    </xf>
    <xf numFmtId="0" fontId="1" fillId="0" borderId="0" applyNumberFormat="0" applyFont="0" applyFill="0" applyBorder="0" applyProtection="0">
      <alignment horizontal="right" wrapText="1"/>
    </xf>
    <xf numFmtId="0" fontId="2" fillId="0" borderId="0" applyNumberFormat="0" applyFill="0" applyProtection="0">
      <alignment horizontal="center"/>
    </xf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1" fontId="1" fillId="0" borderId="0" applyFont="0" applyFill="0" applyBorder="0" applyAlignment="0">
      <alignment wrapText="1"/>
    </xf>
  </cellStyleXfs>
  <cellXfs count="68">
    <xf numFmtId="0" fontId="0" fillId="0" borderId="0" xfId="0">
      <alignment wrapText="1"/>
    </xf>
    <xf numFmtId="0" fontId="0" fillId="0" borderId="0" xfId="0" applyBorder="1">
      <alignment wrapText="1"/>
    </xf>
    <xf numFmtId="0" fontId="0" fillId="0" borderId="1" xfId="0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Border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Protection="1">
      <alignment wrapText="1"/>
      <protection locked="0"/>
    </xf>
    <xf numFmtId="0" fontId="0" fillId="0" borderId="0" xfId="0" applyBorder="1" applyProtection="1">
      <alignment wrapText="1"/>
      <protection locked="0"/>
    </xf>
    <xf numFmtId="164" fontId="0" fillId="0" borderId="0" xfId="0" applyNumberFormat="1" applyProtection="1">
      <alignment wrapText="1"/>
      <protection locked="0"/>
    </xf>
    <xf numFmtId="0" fontId="9" fillId="0" borderId="0" xfId="0" applyFont="1" applyProtection="1">
      <alignment wrapText="1"/>
      <protection locked="0"/>
    </xf>
    <xf numFmtId="15" fontId="0" fillId="3" borderId="1" xfId="1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0" fillId="3" borderId="1" xfId="3" applyNumberFormat="1" applyFont="1" applyFill="1" applyBorder="1" applyAlignment="1" applyProtection="1">
      <alignment horizontal="center" vertical="center"/>
      <protection locked="0"/>
    </xf>
    <xf numFmtId="8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1" xfId="0" applyFont="1" applyFill="1" applyBorder="1" applyAlignment="1" applyProtection="1">
      <alignment horizontal="center" vertical="center" wrapText="1"/>
      <protection locked="0"/>
    </xf>
    <xf numFmtId="1" fontId="0" fillId="3" borderId="1" xfId="14" applyFont="1" applyFill="1" applyBorder="1" applyAlignment="1" applyProtection="1">
      <alignment horizontal="center" vertical="center" wrapText="1"/>
      <protection locked="0"/>
    </xf>
    <xf numFmtId="0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3" borderId="1" xfId="3" applyFont="1" applyFill="1" applyBorder="1" applyAlignment="1" applyProtection="1">
      <alignment horizontal="center" vertical="center"/>
      <protection locked="0"/>
    </xf>
    <xf numFmtId="0" fontId="5" fillId="3" borderId="1" xfId="0" applyNumberFormat="1" applyFont="1" applyFill="1" applyBorder="1" applyAlignment="1" applyProtection="1">
      <alignment vertical="center" wrapText="1"/>
      <protection locked="0"/>
    </xf>
    <xf numFmtId="164" fontId="1" fillId="3" borderId="1" xfId="3" applyFont="1" applyFill="1" applyBorder="1" applyAlignment="1" applyProtection="1">
      <alignment horizontal="center" vertical="center" wrapText="1"/>
      <protection locked="0"/>
    </xf>
    <xf numFmtId="0" fontId="0" fillId="3" borderId="1" xfId="0" applyNumberFormat="1" applyFill="1" applyBorder="1" applyAlignment="1" applyProtection="1">
      <alignment horizontal="center" vertical="center" wrapText="1"/>
      <protection locked="0"/>
    </xf>
    <xf numFmtId="8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14" fontId="1" fillId="3" borderId="1" xfId="9" applyFont="1" applyFill="1" applyBorder="1" applyAlignment="1" applyProtection="1">
      <alignment horizontal="left" vertical="center" wrapText="1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0" fontId="5" fillId="3" borderId="3" xfId="0" applyFont="1" applyFill="1" applyBorder="1" applyAlignment="1" applyProtection="1">
      <alignment horizontal="left" vertical="center" wrapText="1"/>
      <protection locked="0"/>
    </xf>
    <xf numFmtId="0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8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3" xfId="0" applyFont="1" applyFill="1" applyBorder="1" applyAlignment="1" applyProtection="1">
      <alignment horizontal="center" vertical="center" wrapText="1"/>
      <protection locked="0"/>
    </xf>
    <xf numFmtId="1" fontId="0" fillId="3" borderId="3" xfId="14" applyFont="1" applyFill="1" applyBorder="1" applyAlignment="1" applyProtection="1">
      <alignment horizontal="center" vertical="center" wrapText="1"/>
      <protection locked="0"/>
    </xf>
    <xf numFmtId="0" fontId="8" fillId="0" borderId="15" xfId="7" applyFont="1" applyBorder="1" applyAlignment="1" applyProtection="1">
      <alignment horizontal="right"/>
    </xf>
    <xf numFmtId="0" fontId="15" fillId="0" borderId="2" xfId="7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164" fontId="7" fillId="0" borderId="7" xfId="0" applyNumberFormat="1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164" fontId="7" fillId="0" borderId="8" xfId="0" applyNumberFormat="1" applyFont="1" applyBorder="1" applyAlignment="1" applyProtection="1">
      <alignment horizontal="center" vertical="center" wrapText="1"/>
    </xf>
    <xf numFmtId="9" fontId="1" fillId="0" borderId="1" xfId="5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0" fillId="0" borderId="9" xfId="0" applyBorder="1" applyProtection="1">
      <alignment wrapText="1"/>
    </xf>
    <xf numFmtId="164" fontId="7" fillId="0" borderId="10" xfId="0" applyNumberFormat="1" applyFont="1" applyBorder="1" applyAlignment="1" applyProtection="1">
      <alignment horizontal="center" vertical="center" wrapText="1"/>
    </xf>
    <xf numFmtId="164" fontId="14" fillId="0" borderId="17" xfId="0" applyNumberFormat="1" applyFont="1" applyBorder="1" applyAlignment="1" applyProtection="1">
      <alignment horizontal="center"/>
    </xf>
    <xf numFmtId="0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0" fillId="0" borderId="1" xfId="0" applyNumberFormat="1" applyBorder="1">
      <alignment wrapText="1"/>
    </xf>
    <xf numFmtId="9" fontId="1" fillId="0" borderId="1" xfId="5" applyNumberFormat="1" applyBorder="1" applyAlignment="1" applyProtection="1">
      <alignment horizontal="center" vertical="center"/>
    </xf>
    <xf numFmtId="0" fontId="12" fillId="5" borderId="1" xfId="11" applyFont="1" applyFill="1" applyBorder="1" applyAlignment="1" applyProtection="1">
      <alignment horizontal="center" vertical="center"/>
    </xf>
    <xf numFmtId="0" fontId="10" fillId="5" borderId="5" xfId="11" applyFont="1" applyFill="1" applyBorder="1" applyAlignment="1">
      <alignment horizontal="center" vertical="center"/>
    </xf>
    <xf numFmtId="0" fontId="10" fillId="5" borderId="5" xfId="11" applyFont="1" applyFill="1" applyBorder="1" applyAlignment="1">
      <alignment horizontal="center" vertical="center" wrapText="1"/>
    </xf>
    <xf numFmtId="0" fontId="16" fillId="0" borderId="16" xfId="8" applyFont="1" applyBorder="1" applyAlignment="1" applyProtection="1">
      <alignment horizontal="left" wrapText="1"/>
      <protection locked="0"/>
    </xf>
    <xf numFmtId="0" fontId="0" fillId="0" borderId="0" xfId="0" applyFill="1" applyBorder="1" applyAlignment="1">
      <alignment horizontal="left" vertical="center" wrapText="1"/>
    </xf>
    <xf numFmtId="0" fontId="10" fillId="5" borderId="1" xfId="11" applyFont="1" applyFill="1" applyBorder="1" applyAlignment="1">
      <alignment horizontal="center" vertical="center"/>
    </xf>
    <xf numFmtId="164" fontId="0" fillId="3" borderId="1" xfId="3" applyFont="1" applyFill="1" applyBorder="1" applyAlignment="1" applyProtection="1">
      <alignment horizontal="center" vertical="center"/>
    </xf>
    <xf numFmtId="164" fontId="0" fillId="3" borderId="3" xfId="3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quotePrefix="1" applyNumberForma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13" xfId="0" applyFont="1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12" fillId="0" borderId="12" xfId="0" applyFont="1" applyBorder="1" applyAlignment="1" applyProtection="1">
      <alignment horizontal="center" vertical="top" wrapText="1"/>
    </xf>
    <xf numFmtId="0" fontId="12" fillId="0" borderId="14" xfId="0" applyFont="1" applyBorder="1" applyAlignment="1" applyProtection="1">
      <alignment horizontal="center" vertical="top" wrapText="1"/>
    </xf>
    <xf numFmtId="0" fontId="12" fillId="0" borderId="15" xfId="0" applyFont="1" applyBorder="1" applyAlignment="1" applyProtection="1">
      <alignment horizontal="center" vertical="top" wrapText="1"/>
    </xf>
    <xf numFmtId="0" fontId="16" fillId="0" borderId="16" xfId="0" applyFont="1" applyBorder="1" applyAlignment="1" applyProtection="1">
      <alignment horizontal="left" wrapText="1"/>
      <protection locked="0"/>
    </xf>
    <xf numFmtId="0" fontId="16" fillId="0" borderId="2" xfId="0" applyFont="1" applyBorder="1" applyAlignment="1" applyProtection="1">
      <alignment horizontal="left" wrapText="1"/>
      <protection locked="0"/>
    </xf>
    <xf numFmtId="0" fontId="15" fillId="0" borderId="2" xfId="7" applyFont="1" applyBorder="1" applyAlignment="1" applyProtection="1">
      <alignment horizontal="right"/>
    </xf>
    <xf numFmtId="0" fontId="7" fillId="4" borderId="18" xfId="0" applyFont="1" applyFill="1" applyBorder="1" applyAlignment="1">
      <alignment horizontal="center" wrapText="1"/>
    </xf>
  </cellXfs>
  <cellStyles count="15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Date" xfId="9" xr:uid="{00000000-0005-0000-0000-000004000000}"/>
    <cellStyle name="Heading 1" xfId="7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 box" xfId="8" xr:uid="{00000000-0005-0000-0000-000009000000}"/>
    <cellStyle name="Mileage" xfId="14" xr:uid="{00000000-0005-0000-0000-00000A000000}"/>
    <cellStyle name="Normal" xfId="0" builtinId="0" customBuiltin="1"/>
    <cellStyle name="Percent" xfId="5" builtinId="5" customBuiltin="1"/>
    <cellStyle name="Right align" xfId="10" xr:uid="{00000000-0005-0000-0000-00000D000000}"/>
    <cellStyle name="Title" xfId="6" builtinId="15" customBuiltin="1"/>
  </cellStyles>
  <dxfs count="27">
    <dxf>
      <numFmt numFmtId="20" formatCode="d\-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alignment horizontal="center" vertical="center" textRotation="0" indent="0" justifyLastLine="0" shrinkToFit="0" readingOrder="0"/>
      <border outline="0">
        <left style="thin">
          <color indexed="64"/>
        </lef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tantia"/>
        <family val="1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Continuous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Continuous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alignment horizontal="center" vertical="center" textRotation="0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Continuous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Continuous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Continuous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border outline="0"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  <protection locked="0" hidden="0"/>
    </dxf>
    <dxf>
      <border>
        <top style="medium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0" hidden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tantia"/>
        <family val="1"/>
        <scheme val="maj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  <protection locked="1" hidden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Light1" defaultPivotStyle="PivotStyleLight16">
    <tableStyle name="Business Table" pivot="0" count="3" xr9:uid="{00000000-0011-0000-FFFF-FFFF00000000}">
      <tableStyleElement type="wholeTable" dxfId="26"/>
      <tableStyleElement type="headerRow" dxfId="25"/>
      <tableStyleElement type="secondRowStripe" dxfId="2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  <mruColors>
      <color rgb="FFFF852D"/>
      <color rgb="FF56DCAC"/>
      <color rgb="FFC85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5.jpg@01D80E07.204F56A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78441</xdr:colOff>
      <xdr:row>1</xdr:row>
      <xdr:rowOff>0</xdr:rowOff>
    </xdr:from>
    <xdr:to>
      <xdr:col>7</xdr:col>
      <xdr:colOff>579283</xdr:colOff>
      <xdr:row>1</xdr:row>
      <xdr:rowOff>0</xdr:rowOff>
    </xdr:to>
    <xdr:pic>
      <xdr:nvPicPr>
        <xdr:cNvPr id="27" name="Picture 8">
          <a:extLst>
            <a:ext uri="{FF2B5EF4-FFF2-40B4-BE49-F238E27FC236}">
              <a16:creationId xmlns:a16="http://schemas.microsoft.com/office/drawing/2014/main" id="{707B5EFB-272C-4CA4-BED9-FA42DA9E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8294" y="3552265"/>
          <a:ext cx="1711077" cy="243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80542D-6A9F-4D6B-A4AE-88D1F4872F07}" name="Expense3" displayName="Expense3" ref="B4:J12" totalsRowShown="0" headerRowDxfId="23" dataDxfId="21" totalsRowDxfId="19" headerRowBorderDxfId="22" tableBorderDxfId="20" totalsRowBorderDxfId="18" headerRowCellStyle="Heading 2">
  <tableColumns count="9">
    <tableColumn id="1" xr3:uid="{B35193FF-3BE3-43D8-9BB8-556BC4E98850}" name="Date" dataDxfId="0" totalsRowDxfId="17" dataCellStyle="Right align"/>
    <tableColumn id="9" xr3:uid="{153DA27E-0F3C-4935-AB41-A7A605E821C0}" name="Expense Category" dataDxfId="16" totalsRowDxfId="15" dataCellStyle="Date"/>
    <tableColumn id="2" xr3:uid="{57118F25-1ADE-4EF7-8A7B-B92F66DC0902}" name="Description" dataDxfId="14" totalsRowDxfId="13"/>
    <tableColumn id="3" xr3:uid="{E61BBD9D-ADCF-4285-948D-938DC40C06E7}" name="Notes" dataDxfId="12" totalsRowDxfId="11"/>
    <tableColumn id="4" xr3:uid="{2D434FB8-C2FB-411A-BF07-AE2085522D4C}" name="Quantity" dataDxfId="10" totalsRowDxfId="9"/>
    <tableColumn id="5" xr3:uid="{127C009A-DDF8-472D-A9DF-5EA165C8F5E5}" name="Rate" dataDxfId="8" totalsRowDxfId="7"/>
    <tableColumn id="6" xr3:uid="{8F4F14DF-D93B-4CBA-B2D8-493E1E2BC45C}" name="Hours" dataDxfId="6" totalsRowDxfId="5"/>
    <tableColumn id="7" xr3:uid="{B9018A50-7057-4211-B845-C2256599D317}" name="Mileage/KM" dataDxfId="4" totalsRowDxfId="3" dataCellStyle="Mileage">
      <calculatedColumnFormula>IFERROR(IF(OR(ISBLANK(G5),ISBLANK(H5)),0,H5-G5), "")</calculatedColumnFormula>
    </tableColumn>
    <tableColumn id="8" xr3:uid="{0B8A894C-A1A6-48CE-A82D-3F43E4229F7B}" name="Reimbursement" dataDxfId="2" totalsRowDxfId="1" dataCellStyle="Currency">
      <calculatedColumnFormula>IFERROR(I5*#REF!, "")</calculatedColumnFormula>
    </tableColumn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Date, Starting Location, Destination, Description or Notes, Odometer Start, Odometer End, Mileage, and Reimbursement "/>
    </ext>
  </extLst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1F6-4E86-4D21-9494-AC292BA9076C}">
  <sheetPr codeName="Sheet2">
    <tabColor theme="0" tint="-4.9989318521683403E-2"/>
    <pageSetUpPr fitToPage="1"/>
  </sheetPr>
  <dimension ref="B1:L16"/>
  <sheetViews>
    <sheetView showGridLines="0" tabSelected="1" zoomScale="80" zoomScaleNormal="80" workbookViewId="0">
      <pane ySplit="4" topLeftCell="A5" activePane="bottomLeft" state="frozenSplit"/>
      <selection pane="bottomLeft" activeCell="F12" sqref="F12"/>
    </sheetView>
  </sheetViews>
  <sheetFormatPr defaultRowHeight="30" customHeight="1" x14ac:dyDescent="0.3"/>
  <cols>
    <col min="1" max="1" width="4.75" style="6" customWidth="1"/>
    <col min="2" max="2" width="20.4140625" style="6" customWidth="1"/>
    <col min="3" max="3" width="32.08203125" style="6" bestFit="1" customWidth="1"/>
    <col min="4" max="4" width="30.5" style="6" hidden="1" customWidth="1"/>
    <col min="5" max="5" width="33.08203125" style="6" customWidth="1"/>
    <col min="6" max="6" width="25.6640625" style="6" customWidth="1"/>
    <col min="7" max="7" width="15.9140625" style="6" customWidth="1"/>
    <col min="8" max="8" width="15.4140625" style="6" customWidth="1"/>
    <col min="9" max="9" width="23" style="6" customWidth="1"/>
    <col min="10" max="10" width="19.6640625" style="6" customWidth="1"/>
    <col min="11" max="11" width="8.6640625" style="6"/>
    <col min="12" max="12" width="15.1640625" style="6" customWidth="1"/>
    <col min="13" max="13" width="15.75" style="6" bestFit="1" customWidth="1"/>
    <col min="14" max="14" width="13.25" style="6" bestFit="1" customWidth="1"/>
    <col min="15" max="15" width="8.6640625" style="6"/>
    <col min="16" max="16" width="23.5" style="6" bestFit="1" customWidth="1"/>
    <col min="17" max="17" width="8.75" style="6" bestFit="1" customWidth="1"/>
    <col min="18" max="18" width="8.6640625" style="6"/>
    <col min="19" max="19" width="23.5" style="6" bestFit="1" customWidth="1"/>
    <col min="20" max="26" width="8.6640625" style="6"/>
    <col min="27" max="27" width="20.58203125" style="6" bestFit="1" customWidth="1"/>
    <col min="28" max="28" width="13.25" style="6" bestFit="1" customWidth="1"/>
    <col min="29" max="16384" width="8.6640625" style="6"/>
  </cols>
  <sheetData>
    <row r="1" spans="2:12" ht="7" customHeight="1" x14ac:dyDescent="0.3"/>
    <row r="2" spans="2:12" ht="40" customHeight="1" thickBot="1" x14ac:dyDescent="0.6">
      <c r="B2" s="30" t="s">
        <v>20</v>
      </c>
      <c r="C2" s="48" t="s">
        <v>40</v>
      </c>
      <c r="D2" s="31" t="s">
        <v>75</v>
      </c>
      <c r="E2" s="64"/>
      <c r="F2" s="64"/>
      <c r="G2" s="65"/>
      <c r="H2" s="66" t="s">
        <v>88</v>
      </c>
      <c r="I2" s="66"/>
      <c r="J2" s="41">
        <f>J16</f>
        <v>1282.605</v>
      </c>
      <c r="L2" s="8"/>
    </row>
    <row r="3" spans="2:12" ht="5" customHeight="1" x14ac:dyDescent="0.35">
      <c r="C3" s="7"/>
      <c r="I3" s="9"/>
      <c r="J3" s="7"/>
    </row>
    <row r="4" spans="2:12" ht="25.5" customHeight="1" x14ac:dyDescent="0.3">
      <c r="B4" s="45" t="s">
        <v>2</v>
      </c>
      <c r="C4" s="45" t="s">
        <v>15</v>
      </c>
      <c r="D4" s="45" t="s">
        <v>18</v>
      </c>
      <c r="E4" s="45" t="s">
        <v>19</v>
      </c>
      <c r="F4" s="45" t="s">
        <v>47</v>
      </c>
      <c r="G4" s="45" t="s">
        <v>52</v>
      </c>
      <c r="H4" s="45" t="s">
        <v>14</v>
      </c>
      <c r="I4" s="45" t="s">
        <v>13</v>
      </c>
      <c r="J4" s="45" t="s">
        <v>0</v>
      </c>
    </row>
    <row r="5" spans="2:12" ht="45" customHeight="1" x14ac:dyDescent="0.3">
      <c r="B5" s="10" t="s">
        <v>89</v>
      </c>
      <c r="C5" s="11" t="s">
        <v>6</v>
      </c>
      <c r="D5" s="11" t="str">
        <f>IF(TRUE,(VLOOKUP(C5,'Hidden Doc'!$D$20:$F$33,2,TRUE)),(VLOOKUP(C5,'Hidden Doc'!$D$20:$F$33,3,TRUE)))</f>
        <v>Service On Site - attendance for inventory creation and documentation</v>
      </c>
      <c r="E5" s="11"/>
      <c r="F5" s="12"/>
      <c r="G5" s="13">
        <v>69</v>
      </c>
      <c r="H5" s="14">
        <v>5</v>
      </c>
      <c r="I5" s="15"/>
      <c r="J5" s="51">
        <f>IF(VLOOKUP(C5,'Hidden Doc'!H24:H29,1,TRUE)=C5,Expense3[[#This Row],[Rate]]*Expense3[[#This Row],[Hours]],IF(VLOOKUP(C5,'Hidden Doc'!K24,1,TRUE)=C5,Expense3[[#This Row],[Rate]]*Expense3[[#This Row],[Mileage/KM]],IF(VLOOKUP(C5,'Hidden Doc'!H38:H45,1,TRUE)=C5,Expense3[[#This Row],[Rate]])))</f>
        <v>345</v>
      </c>
    </row>
    <row r="6" spans="2:12" ht="45" customHeight="1" x14ac:dyDescent="0.3">
      <c r="B6" s="10" t="s">
        <v>89</v>
      </c>
      <c r="C6" s="11" t="s">
        <v>1</v>
      </c>
      <c r="D6" s="11" t="str">
        <f>IF(TRUE,(VLOOKUP(C6,'Hidden Doc'!$D$20:$F$33,2,TRUE)),(VLOOKUP(C6,'Hidden Doc'!$D$20:$F$33,3,TRUE)))</f>
        <v>Exceeds 50Km Round Trip</v>
      </c>
      <c r="E6" s="11"/>
      <c r="F6" s="16"/>
      <c r="G6" s="17">
        <v>0.89</v>
      </c>
      <c r="H6" s="14"/>
      <c r="I6" s="15">
        <v>200</v>
      </c>
      <c r="J6" s="51">
        <f>IF(VLOOKUP(C6,'Hidden Doc'!H24:H29,1,TRUE)=C6,Expense3[[#This Row],[Rate]]*Expense3[[#This Row],[Hours]],IF(VLOOKUP(C6,'Hidden Doc'!K24,1,TRUE)=C6,Expense3[[#This Row],[Rate]]*Expense3[[#This Row],[Mileage/KM]],IF(VLOOKUP(C6,'Hidden Doc'!H38:H45,1,TRUE)=C6,Expense3[[#This Row],[Rate]])))</f>
        <v>178</v>
      </c>
    </row>
    <row r="7" spans="2:12" ht="45" customHeight="1" x14ac:dyDescent="0.3">
      <c r="B7" s="10" t="s">
        <v>89</v>
      </c>
      <c r="C7" s="11" t="s">
        <v>62</v>
      </c>
      <c r="D7" s="11" t="str">
        <f>IF(TRUE,(VLOOKUP(C7,'Hidden Doc'!$D$20:$F$33,2,TRUE)),(VLOOKUP(C7,'Hidden Doc'!$D$20:$F$33,3,TRUE)))</f>
        <v>Available upon request</v>
      </c>
      <c r="E7" s="18"/>
      <c r="F7" s="16"/>
      <c r="G7" s="19">
        <v>69</v>
      </c>
      <c r="H7" s="14">
        <v>2.5</v>
      </c>
      <c r="I7" s="15"/>
      <c r="J7" s="51">
        <f>IF(VLOOKUP(C7,'Hidden Doc'!H24:H29,1,TRUE)=C7,Expense3[[#This Row],[Rate]]*Expense3[[#This Row],[Hours]],IF(VLOOKUP(C7,'Hidden Doc'!K24,1,TRUE)=C7,Expense3[[#This Row],[Rate]]*Expense3[[#This Row],[Mileage/KM]],IF(VLOOKUP(C7,'Hidden Doc'!H38:H45,1,TRUE)=C7,Expense3[[#This Row],[Rate]])))</f>
        <v>172.5</v>
      </c>
    </row>
    <row r="8" spans="2:12" ht="45" customHeight="1" x14ac:dyDescent="0.3">
      <c r="B8" s="10" t="s">
        <v>89</v>
      </c>
      <c r="C8" s="56" t="s">
        <v>55</v>
      </c>
      <c r="D8" s="11" t="str">
        <f>IF(TRUE,(VLOOKUP(C8,'Hidden Doc'!$D$20:$F$33,2,TRUE)),(VLOOKUP(C8,'Hidden Doc'!$D$20:$F$33,3,TRUE)))</f>
        <v>Per Diem Per Appraiser</v>
      </c>
      <c r="E8" s="18"/>
      <c r="F8" s="16">
        <f>IFERROR(VLOOKUP(C8,'Hidden Doc'!H41:H45,1,0),G8)</f>
        <v>650</v>
      </c>
      <c r="G8" s="19">
        <v>650</v>
      </c>
      <c r="H8" s="14"/>
      <c r="I8" s="15"/>
      <c r="J8" s="51"/>
    </row>
    <row r="9" spans="2:12" ht="45" customHeight="1" x14ac:dyDescent="0.3">
      <c r="B9" s="10" t="s">
        <v>89</v>
      </c>
      <c r="C9" s="11" t="s">
        <v>57</v>
      </c>
      <c r="D9" s="11" t="str">
        <f>IF(TRUE,(VLOOKUP(C9,'Hidden Doc'!$D$20:$F$33,2,TRUE)),(VLOOKUP(C9,'Hidden Doc'!$D$20:$F$33,3,TRUE)))</f>
        <v>Specialty Valuation-for items requiring expertise</v>
      </c>
      <c r="E9" s="11"/>
      <c r="F9" s="16"/>
      <c r="G9" s="13">
        <v>50</v>
      </c>
      <c r="H9" s="14"/>
      <c r="I9" s="15"/>
      <c r="J9" s="51">
        <f>IF(VLOOKUP(C9,'Hidden Doc'!H24:H29,1,TRUE)=C9,Expense3[[#This Row],[Rate]]*Expense3[[#This Row],[Hours]],IF(VLOOKUP(C9,'Hidden Doc'!K24,1,TRUE)=C9,Expense3[[#This Row],[Rate]]*Expense3[[#This Row],[Mileage/KM]],IF(VLOOKUP(C9,'Hidden Doc'!H38:H45,1,TRUE)=C9,Expense3[[#This Row],[Rate]])))</f>
        <v>50</v>
      </c>
    </row>
    <row r="10" spans="2:12" ht="63" customHeight="1" x14ac:dyDescent="0.3">
      <c r="B10" s="10" t="s">
        <v>89</v>
      </c>
      <c r="C10" s="11" t="s">
        <v>11</v>
      </c>
      <c r="D10" s="11" t="str">
        <f>IF(TRUE,(VLOOKUP(C10,'Hidden Doc'!$D$20:$F$33,2,TRUE)),(VLOOKUP(C10,'Hidden Doc'!$D$20:$F$33,3,TRUE)))</f>
        <v>Post Claim Processing and adjustments on request, if necessary</v>
      </c>
      <c r="E10" s="11"/>
      <c r="F10" s="20"/>
      <c r="G10" s="21">
        <v>69</v>
      </c>
      <c r="H10" s="22">
        <v>4</v>
      </c>
      <c r="I10" s="15"/>
      <c r="J10" s="51">
        <f>IF(VLOOKUP(C10, 'Hidden Doc'!H24:H29,1,TRUE)=C10,Expense3[[#This Row],[Rate]]*Expense3[[#This Row],[Hours]],IF(VLOOKUP(C10, 'Hidden Doc'!K24,1,TRUE)=C10,Expense3[[#This Row],[Rate]]*Expense3[[#This Row],[Mileage/KM]],IF(VLOOKUP(C10, 'Hidden Doc'!H38:H45,1,TRUE)=C10,Expense3[[#This Row],[Rate]])))</f>
        <v>276</v>
      </c>
    </row>
    <row r="11" spans="2:12" ht="58" customHeight="1" x14ac:dyDescent="0.3">
      <c r="B11" s="10" t="s">
        <v>89</v>
      </c>
      <c r="C11" s="23" t="s">
        <v>49</v>
      </c>
      <c r="D11" s="11" t="str">
        <f>IF(TRUE,(VLOOKUP(C11,'Hidden Doc'!$D$20:$F$33,2,TRUE)),(VLOOKUP(C11,'Hidden Doc'!$D$20:$F$33,3,TRUE)))</f>
        <v>P100 Combo Filter - 1 x $60 ea, 
Tyvek Coveralls - 1 x $15 ea,
Nitrile Glove - 1 x $2 pr, 
N95 Mask - 1 x $5 ea,</v>
      </c>
      <c r="E11" s="18"/>
      <c r="F11" s="42"/>
      <c r="G11" s="21">
        <v>84</v>
      </c>
      <c r="H11" s="22"/>
      <c r="I11" s="15"/>
      <c r="J11" s="51">
        <f>IF(VLOOKUP(C11, 'Hidden Doc'!H24:H29,1,TRUE)=C11,Expense3[[#This Row],[Rate]]*Expense3[[#This Row],[Hours]],IF(VLOOKUP(C11, 'Hidden Doc'!K24,1,TRUE)=C11,Expense3[[#This Row],[Rate]]*Expense3[[#This Row],[Mileage/KM]],IF(VLOOKUP(C11, 'Hidden Doc'!H38:H45,1,TRUE)=C11,Expense3[[#This Row],[Rate]])))</f>
        <v>84</v>
      </c>
    </row>
    <row r="12" spans="2:12" ht="58.5" customHeight="1" thickBot="1" x14ac:dyDescent="0.35">
      <c r="B12" s="10" t="s">
        <v>89</v>
      </c>
      <c r="C12" s="24" t="s">
        <v>8</v>
      </c>
      <c r="D12" s="25" t="str">
        <f>IF(TRUE,(VLOOKUP(C12,'Hidden Doc'!$D$20:$F$33,2,TRUE)),(VLOOKUP(C12,'Hidden Doc'!$D$20:$F$33,3,TRUE)))</f>
        <v>Submitted Receipts value only</v>
      </c>
      <c r="E12" s="25"/>
      <c r="F12" s="26"/>
      <c r="G12" s="27">
        <v>50</v>
      </c>
      <c r="H12" s="28"/>
      <c r="I12" s="29"/>
      <c r="J12" s="52">
        <f>IF(VLOOKUP(C12, 'Hidden Doc'!H24:H29,1,TRUE)=C12,Expense3[[#This Row],[Rate]]*Expense3[[#This Row],[Hours]],IF(VLOOKUP(C12, 'Hidden Doc'!K24,1,TRUE)=C12,Expense3[[#This Row],[Rate]]*Expense3[[#This Row],[Mileage/KM]],IF(VLOOKUP(C12, 'Hidden Doc'!H38:H45,1,TRUE)=C12,Expense3[[#This Row],[Rate]])))</f>
        <v>50</v>
      </c>
    </row>
    <row r="13" spans="2:12" ht="20" customHeight="1" x14ac:dyDescent="0.3">
      <c r="B13" s="61" t="s">
        <v>74</v>
      </c>
      <c r="C13" s="57"/>
      <c r="D13" s="58"/>
      <c r="E13" s="58"/>
      <c r="F13" s="58"/>
      <c r="G13" s="58"/>
      <c r="H13" s="32" t="s">
        <v>4</v>
      </c>
      <c r="I13" s="33">
        <f>IFERROR(IF(OR(ISBLANK(G13),ISBLANK(H13)),0,H13-G13), "")</f>
        <v>0</v>
      </c>
      <c r="J13" s="34">
        <f>SUM(J5:J12)</f>
        <v>1155.5</v>
      </c>
    </row>
    <row r="14" spans="2:12" ht="20" customHeight="1" x14ac:dyDescent="0.3">
      <c r="B14" s="62"/>
      <c r="C14" s="59"/>
      <c r="D14" s="59"/>
      <c r="E14" s="59"/>
      <c r="F14" s="59"/>
      <c r="G14" s="59"/>
      <c r="H14" s="35" t="s">
        <v>51</v>
      </c>
      <c r="I14" s="44">
        <f>VLOOKUP(C2,'Hidden Doc'!$H$6:$I$18,2,FALSE)/100</f>
        <v>0.06</v>
      </c>
      <c r="J14" s="36">
        <f>SUM(J13*I14)</f>
        <v>69.33</v>
      </c>
    </row>
    <row r="15" spans="2:12" ht="20" customHeight="1" x14ac:dyDescent="0.3">
      <c r="B15" s="62"/>
      <c r="C15" s="59"/>
      <c r="D15" s="59"/>
      <c r="E15" s="59"/>
      <c r="F15" s="59"/>
      <c r="G15" s="59"/>
      <c r="H15" s="35" t="s">
        <v>73</v>
      </c>
      <c r="I15" s="37">
        <f>VLOOKUP(C2,'Hidden Doc'!$K$6:$L$18,2,FALSE)/100</f>
        <v>0.05</v>
      </c>
      <c r="J15" s="36">
        <f>SUM(J13*I15)</f>
        <v>57.775000000000006</v>
      </c>
    </row>
    <row r="16" spans="2:12" ht="20" customHeight="1" thickBot="1" x14ac:dyDescent="0.35">
      <c r="B16" s="63"/>
      <c r="C16" s="60"/>
      <c r="D16" s="60"/>
      <c r="E16" s="60"/>
      <c r="F16" s="60"/>
      <c r="G16" s="60"/>
      <c r="H16" s="38" t="s">
        <v>5</v>
      </c>
      <c r="I16" s="39"/>
      <c r="J16" s="40">
        <f>SUM(J13,J14,J15)</f>
        <v>1282.605</v>
      </c>
    </row>
  </sheetData>
  <mergeCells count="4">
    <mergeCell ref="C13:G16"/>
    <mergeCell ref="B13:B16"/>
    <mergeCell ref="E2:G2"/>
    <mergeCell ref="H2:I2"/>
  </mergeCells>
  <phoneticPr fontId="11" type="noConversion"/>
  <dataValidations count="10">
    <dataValidation allowBlank="1" showInputMessage="1" showErrorMessage="1" prompt="Enter Date in this column under this heading. Use heading filters to find specific entries" sqref="B4" xr:uid="{38099CB5-E8AF-40DF-9F79-BD9A6EA316D6}"/>
    <dataValidation allowBlank="1" showInputMessage="1" showErrorMessage="1" prompt="Mileage is automatically calculated in this column under this heading" sqref="I4" xr:uid="{0ED77612-B7A6-44D5-AD84-D2EFE5BA49C3}"/>
    <dataValidation allowBlank="1" showInputMessage="1" showErrorMessage="1" prompt="Reimbursement amount is automatically calculated in this column under this heading" sqref="J4" xr:uid="{EC91C75E-5E0F-4F9D-9678-2E156E25B35D}"/>
    <dataValidation allowBlank="1" showInputMessage="1" showErrorMessage="1" prompt="Enter Odometer Start reading in this column under this heading" sqref="G4:H4" xr:uid="{0279B7F8-FFA0-437C-9169-1E12B46526F2}"/>
    <dataValidation allowBlank="1" showInputMessage="1" showErrorMessage="1" prompt="Enter Description or Notes in this column under this heading" sqref="F4 D4" xr:uid="{B781C7E4-AA2A-4DBE-9F52-023F5553D74A}"/>
    <dataValidation allowBlank="1" showInputMessage="1" showErrorMessage="1" prompt="Enter Destination in this column under this heading" sqref="E4" xr:uid="{9A5FE476-7282-497D-B3CB-0897FF28C199}"/>
    <dataValidation allowBlank="1" showErrorMessage="1" prompt="Period is automatically updated based on entries in Expense table, below" sqref="F5:F10 F12 B5:B12" xr:uid="{CCC7E096-583F-40FB-8F81-17FC0198EEAB}"/>
    <dataValidation allowBlank="1" showErrorMessage="1" sqref="A1 H2:I2" xr:uid="{8D21E78B-B44E-45C3-982B-F450FB99142E}"/>
    <dataValidation allowBlank="1" showErrorMessage="1" prompt="Enter Rate Per Mile in this cell" sqref="G6:G8" xr:uid="{E54D5C13-34D2-45E4-B192-AE17BD6118AA}"/>
    <dataValidation showInputMessage="1" showErrorMessage="1" sqref="F11 E5:E12" xr:uid="{948EE6E3-7B9B-46AD-A60B-A40EA0BFBF27}"/>
  </dataValidations>
  <printOptions horizontalCentered="1"/>
  <pageMargins left="0.23622047244094491" right="0.23622047244094491" top="0.74803149606299213" bottom="0.74803149606299213" header="0.31496062992125984" footer="0.31496062992125984"/>
  <pageSetup scale="57" fitToHeight="0" orientation="landscape" r:id="rId1"/>
  <headerFooter differentFirst="1">
    <oddFooter>Page &amp;P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Missing Province" error="Missing Province! Taxes cannot be calculated" promptTitle="Province" prompt="Select Province in this cell" xr:uid="{3EBB178E-508A-46FC-BBC0-DD0C80478433}">
          <x14:formula1>
            <xm:f>'Hidden Doc'!$H$6:$H$18</xm:f>
          </x14:formula1>
          <xm:sqref>C2</xm:sqref>
        </x14:dataValidation>
        <x14:dataValidation type="list" errorStyle="warning" allowBlank="1" showInputMessage="1" showErrorMessage="1" xr:uid="{1BC7C45D-834C-44B0-9838-74F76AE3B50C}">
          <x14:formula1>
            <xm:f>'Hidden Doc'!$D$20:$D$33</xm:f>
          </x14:formula1>
          <xm:sqref>C5:C12</xm:sqref>
        </x14:dataValidation>
        <x14:dataValidation type="list" errorStyle="warning" allowBlank="1" showInputMessage="1" showErrorMessage="1" xr:uid="{C1792AEA-10AC-4167-84E7-4F5BBACE8ACB}">
          <x14:formula1>
            <xm:f>'Hidden Doc'!$E$20:$E$33</xm:f>
          </x14:formula1>
          <xm:sqref>D5:D12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8EAD-6FEE-4287-8DF7-BA2A1D60B265}">
  <sheetPr codeName="Sheet6">
    <tabColor rgb="FFFF0000"/>
  </sheetPr>
  <dimension ref="D2:L52"/>
  <sheetViews>
    <sheetView showGridLines="0" zoomScaleNormal="100" workbookViewId="0">
      <selection activeCell="G20" sqref="G20"/>
    </sheetView>
  </sheetViews>
  <sheetFormatPr defaultRowHeight="14" x14ac:dyDescent="0.3"/>
  <cols>
    <col min="1" max="3" width="8.6640625" style="1"/>
    <col min="4" max="4" width="19.08203125" style="1" bestFit="1" customWidth="1"/>
    <col min="5" max="5" width="46.25" style="1" customWidth="1"/>
    <col min="6" max="6" width="16" style="1" bestFit="1" customWidth="1"/>
    <col min="7" max="7" width="14" style="1" bestFit="1" customWidth="1"/>
    <col min="8" max="8" width="36.25" style="1" bestFit="1" customWidth="1"/>
    <col min="9" max="9" width="6.58203125" style="1" bestFit="1" customWidth="1"/>
    <col min="10" max="10" width="8.6640625" style="1"/>
    <col min="11" max="11" width="24" style="1" bestFit="1" customWidth="1"/>
    <col min="12" max="12" width="11.33203125" style="1" bestFit="1" customWidth="1"/>
    <col min="13" max="16384" width="8.6640625" style="1"/>
  </cols>
  <sheetData>
    <row r="2" spans="4:12" ht="14.5" thickBot="1" x14ac:dyDescent="0.35"/>
    <row r="3" spans="4:12" hidden="1" x14ac:dyDescent="0.3"/>
    <row r="4" spans="4:12" ht="14.5" hidden="1" thickBot="1" x14ac:dyDescent="0.35"/>
    <row r="5" spans="4:12" ht="18.5" hidden="1" x14ac:dyDescent="0.3">
      <c r="D5" s="46" t="s">
        <v>68</v>
      </c>
      <c r="E5" s="46" t="s">
        <v>69</v>
      </c>
      <c r="H5" s="46" t="s">
        <v>72</v>
      </c>
      <c r="I5" s="46" t="s">
        <v>51</v>
      </c>
      <c r="K5" s="46" t="s">
        <v>72</v>
      </c>
      <c r="L5" s="46" t="s">
        <v>50</v>
      </c>
    </row>
    <row r="6" spans="4:12" hidden="1" x14ac:dyDescent="0.3">
      <c r="D6" s="4" t="s">
        <v>16</v>
      </c>
      <c r="E6" s="4" t="s">
        <v>26</v>
      </c>
      <c r="H6" s="4" t="s">
        <v>21</v>
      </c>
      <c r="I6" s="4">
        <v>0</v>
      </c>
      <c r="K6" s="4" t="s">
        <v>21</v>
      </c>
      <c r="L6" s="4">
        <v>5</v>
      </c>
    </row>
    <row r="7" spans="4:12" hidden="1" x14ac:dyDescent="0.3">
      <c r="D7" s="4" t="s">
        <v>80</v>
      </c>
      <c r="E7" s="4" t="s">
        <v>81</v>
      </c>
      <c r="H7" s="4" t="s">
        <v>32</v>
      </c>
      <c r="I7" s="4">
        <v>7</v>
      </c>
      <c r="K7" s="4" t="s">
        <v>32</v>
      </c>
      <c r="L7" s="4">
        <v>5</v>
      </c>
    </row>
    <row r="8" spans="4:12" hidden="1" x14ac:dyDescent="0.3">
      <c r="D8" s="4" t="s">
        <v>45</v>
      </c>
      <c r="E8" s="4" t="s">
        <v>79</v>
      </c>
      <c r="H8" s="4" t="s">
        <v>33</v>
      </c>
      <c r="I8" s="4">
        <v>7</v>
      </c>
      <c r="K8" s="4" t="s">
        <v>33</v>
      </c>
      <c r="L8" s="4">
        <v>5</v>
      </c>
    </row>
    <row r="9" spans="4:12" hidden="1" x14ac:dyDescent="0.3">
      <c r="D9" s="4" t="s">
        <v>22</v>
      </c>
      <c r="E9" s="4" t="s">
        <v>27</v>
      </c>
      <c r="H9" s="4" t="s">
        <v>34</v>
      </c>
      <c r="I9" s="4">
        <v>0</v>
      </c>
      <c r="K9" s="4" t="s">
        <v>34</v>
      </c>
      <c r="L9" s="4">
        <v>15</v>
      </c>
    </row>
    <row r="10" spans="4:12" hidden="1" x14ac:dyDescent="0.3">
      <c r="D10" s="4" t="s">
        <v>23</v>
      </c>
      <c r="E10" s="4" t="s">
        <v>28</v>
      </c>
      <c r="H10" s="4" t="s">
        <v>35</v>
      </c>
      <c r="I10" s="4">
        <v>0</v>
      </c>
      <c r="K10" s="4" t="s">
        <v>35</v>
      </c>
      <c r="L10" s="4">
        <v>15</v>
      </c>
    </row>
    <row r="11" spans="4:12" hidden="1" x14ac:dyDescent="0.3">
      <c r="D11" s="4" t="s">
        <v>24</v>
      </c>
      <c r="E11" s="4" t="s">
        <v>29</v>
      </c>
      <c r="H11" s="4" t="s">
        <v>36</v>
      </c>
      <c r="I11" s="4">
        <v>0</v>
      </c>
      <c r="K11" s="4" t="s">
        <v>36</v>
      </c>
      <c r="L11" s="4">
        <v>15</v>
      </c>
    </row>
    <row r="12" spans="4:12" hidden="1" x14ac:dyDescent="0.3">
      <c r="D12" s="4" t="s">
        <v>25</v>
      </c>
      <c r="E12" s="4" t="s">
        <v>30</v>
      </c>
      <c r="H12" s="4" t="s">
        <v>37</v>
      </c>
      <c r="I12" s="4">
        <v>0</v>
      </c>
      <c r="K12" s="4" t="s">
        <v>37</v>
      </c>
      <c r="L12" s="4">
        <v>13</v>
      </c>
    </row>
    <row r="13" spans="4:12" hidden="1" x14ac:dyDescent="0.3">
      <c r="D13" s="4" t="s">
        <v>46</v>
      </c>
      <c r="E13" s="4" t="s">
        <v>48</v>
      </c>
      <c r="H13" s="4" t="s">
        <v>38</v>
      </c>
      <c r="I13" s="4">
        <v>0</v>
      </c>
      <c r="K13" s="4" t="s">
        <v>38</v>
      </c>
      <c r="L13" s="4">
        <v>15</v>
      </c>
    </row>
    <row r="14" spans="4:12" hidden="1" x14ac:dyDescent="0.3">
      <c r="D14" s="4" t="s">
        <v>17</v>
      </c>
      <c r="E14" s="4" t="s">
        <v>31</v>
      </c>
      <c r="H14" s="4" t="s">
        <v>39</v>
      </c>
      <c r="I14" s="43">
        <v>9.9749999999999996</v>
      </c>
      <c r="K14" s="4" t="s">
        <v>39</v>
      </c>
      <c r="L14" s="4">
        <v>5</v>
      </c>
    </row>
    <row r="15" spans="4:12" hidden="1" x14ac:dyDescent="0.3">
      <c r="D15" s="4" t="s">
        <v>53</v>
      </c>
      <c r="E15" s="4" t="s">
        <v>54</v>
      </c>
      <c r="H15" s="4" t="s">
        <v>40</v>
      </c>
      <c r="I15" s="4">
        <v>6</v>
      </c>
      <c r="K15" s="4" t="s">
        <v>40</v>
      </c>
      <c r="L15" s="4">
        <v>5</v>
      </c>
    </row>
    <row r="16" spans="4:12" hidden="1" x14ac:dyDescent="0.3">
      <c r="H16" s="4" t="s">
        <v>41</v>
      </c>
      <c r="I16" s="4">
        <v>0</v>
      </c>
      <c r="K16" s="4" t="s">
        <v>41</v>
      </c>
      <c r="L16" s="4">
        <v>5</v>
      </c>
    </row>
    <row r="17" spans="4:12" hidden="1" x14ac:dyDescent="0.3">
      <c r="H17" s="4" t="s">
        <v>42</v>
      </c>
      <c r="I17" s="4">
        <v>0</v>
      </c>
      <c r="K17" s="4" t="s">
        <v>42</v>
      </c>
      <c r="L17" s="4">
        <v>5</v>
      </c>
    </row>
    <row r="18" spans="4:12" ht="14.5" hidden="1" thickBot="1" x14ac:dyDescent="0.35">
      <c r="D18" s="67" t="s">
        <v>76</v>
      </c>
      <c r="E18" s="67"/>
      <c r="F18" s="67"/>
      <c r="H18" s="4" t="s">
        <v>43</v>
      </c>
      <c r="I18" s="4">
        <v>0</v>
      </c>
      <c r="K18" s="4" t="s">
        <v>43</v>
      </c>
      <c r="L18" s="4">
        <v>5</v>
      </c>
    </row>
    <row r="19" spans="4:12" ht="37" x14ac:dyDescent="0.3">
      <c r="D19" s="47" t="s">
        <v>70</v>
      </c>
      <c r="E19" s="46" t="s">
        <v>71</v>
      </c>
      <c r="F19" s="46"/>
    </row>
    <row r="20" spans="4:12" x14ac:dyDescent="0.3">
      <c r="D20" s="2" t="s">
        <v>9</v>
      </c>
      <c r="E20" s="2" t="s">
        <v>60</v>
      </c>
      <c r="F20" s="2" t="s">
        <v>61</v>
      </c>
      <c r="H20" s="49"/>
    </row>
    <row r="21" spans="4:12" x14ac:dyDescent="0.3">
      <c r="D21" s="2" t="s">
        <v>7</v>
      </c>
      <c r="E21" s="2" t="s">
        <v>60</v>
      </c>
      <c r="F21" s="2" t="s">
        <v>61</v>
      </c>
    </row>
    <row r="22" spans="4:12" ht="28" x14ac:dyDescent="0.3">
      <c r="D22" s="2" t="s">
        <v>55</v>
      </c>
      <c r="E22" s="2" t="s">
        <v>83</v>
      </c>
      <c r="F22" s="2" t="s">
        <v>61</v>
      </c>
    </row>
    <row r="23" spans="4:12" ht="28" x14ac:dyDescent="0.3">
      <c r="D23" s="2" t="s">
        <v>44</v>
      </c>
      <c r="E23" s="2" t="s">
        <v>67</v>
      </c>
      <c r="F23" s="2" t="s">
        <v>61</v>
      </c>
      <c r="H23" s="50" t="s">
        <v>85</v>
      </c>
      <c r="K23" s="50" t="s">
        <v>86</v>
      </c>
    </row>
    <row r="24" spans="4:12" x14ac:dyDescent="0.3">
      <c r="D24" s="2" t="s">
        <v>1</v>
      </c>
      <c r="E24" s="2" t="s">
        <v>58</v>
      </c>
      <c r="F24" s="2" t="s">
        <v>61</v>
      </c>
      <c r="H24" s="5" t="s">
        <v>64</v>
      </c>
      <c r="K24" s="4" t="s">
        <v>1</v>
      </c>
    </row>
    <row r="25" spans="4:12" x14ac:dyDescent="0.3">
      <c r="D25" s="2" t="s">
        <v>10</v>
      </c>
      <c r="E25" s="2" t="s">
        <v>60</v>
      </c>
      <c r="F25" s="2" t="s">
        <v>61</v>
      </c>
      <c r="H25" s="5" t="s">
        <v>44</v>
      </c>
    </row>
    <row r="26" spans="4:12" ht="28" x14ac:dyDescent="0.3">
      <c r="D26" s="2" t="s">
        <v>11</v>
      </c>
      <c r="E26" s="2" t="s">
        <v>12</v>
      </c>
      <c r="F26" s="2" t="s">
        <v>61</v>
      </c>
      <c r="H26" s="5" t="s">
        <v>11</v>
      </c>
    </row>
    <row r="27" spans="4:12" ht="56" x14ac:dyDescent="0.3">
      <c r="D27" s="2" t="s">
        <v>49</v>
      </c>
      <c r="E27" s="2" t="s">
        <v>84</v>
      </c>
      <c r="F27" s="2" t="s">
        <v>61</v>
      </c>
      <c r="H27" s="5" t="s">
        <v>62</v>
      </c>
    </row>
    <row r="28" spans="4:12" ht="56" x14ac:dyDescent="0.3">
      <c r="D28" s="3" t="s">
        <v>62</v>
      </c>
      <c r="E28" s="3" t="s">
        <v>63</v>
      </c>
      <c r="F28" s="2" t="s">
        <v>61</v>
      </c>
      <c r="H28" s="2" t="s">
        <v>6</v>
      </c>
    </row>
    <row r="29" spans="4:12" ht="28" x14ac:dyDescent="0.3">
      <c r="D29" s="2" t="s">
        <v>8</v>
      </c>
      <c r="E29" s="2" t="s">
        <v>60</v>
      </c>
      <c r="F29" s="2" t="s">
        <v>61</v>
      </c>
      <c r="H29" s="2" t="s">
        <v>56</v>
      </c>
    </row>
    <row r="30" spans="4:12" x14ac:dyDescent="0.3">
      <c r="D30" s="2" t="s">
        <v>57</v>
      </c>
      <c r="E30" s="2" t="s">
        <v>65</v>
      </c>
      <c r="F30" s="2" t="s">
        <v>61</v>
      </c>
    </row>
    <row r="31" spans="4:12" x14ac:dyDescent="0.3">
      <c r="D31" s="2" t="s">
        <v>3</v>
      </c>
      <c r="E31" s="2" t="s">
        <v>82</v>
      </c>
      <c r="F31" s="2" t="s">
        <v>61</v>
      </c>
    </row>
    <row r="32" spans="4:12" ht="28" x14ac:dyDescent="0.3">
      <c r="D32" s="2" t="s">
        <v>6</v>
      </c>
      <c r="E32" s="2" t="s">
        <v>66</v>
      </c>
      <c r="F32" s="2" t="s">
        <v>61</v>
      </c>
    </row>
    <row r="33" spans="4:8" x14ac:dyDescent="0.3">
      <c r="D33" s="2" t="s">
        <v>56</v>
      </c>
      <c r="E33" s="3" t="s">
        <v>59</v>
      </c>
      <c r="F33" s="2" t="s">
        <v>61</v>
      </c>
    </row>
    <row r="36" spans="4:8" ht="14.5" thickBot="1" x14ac:dyDescent="0.35">
      <c r="D36" s="67" t="s">
        <v>77</v>
      </c>
      <c r="E36" s="67"/>
      <c r="F36" s="67"/>
    </row>
    <row r="37" spans="4:8" ht="37" x14ac:dyDescent="0.3">
      <c r="D37" s="47" t="s">
        <v>70</v>
      </c>
      <c r="E37" s="46" t="s">
        <v>71</v>
      </c>
      <c r="F37" s="46"/>
      <c r="H37" s="50" t="s">
        <v>87</v>
      </c>
    </row>
    <row r="38" spans="4:8" x14ac:dyDescent="0.3">
      <c r="D38" s="2" t="s">
        <v>9</v>
      </c>
      <c r="E38" s="2" t="s">
        <v>60</v>
      </c>
      <c r="F38" s="2" t="s">
        <v>61</v>
      </c>
      <c r="H38" s="55" t="s">
        <v>9</v>
      </c>
    </row>
    <row r="39" spans="4:8" x14ac:dyDescent="0.3">
      <c r="D39" s="2" t="s">
        <v>7</v>
      </c>
      <c r="E39" s="2" t="s">
        <v>60</v>
      </c>
      <c r="F39" s="2" t="s">
        <v>61</v>
      </c>
      <c r="H39" s="53" t="s">
        <v>7</v>
      </c>
    </row>
    <row r="40" spans="4:8" x14ac:dyDescent="0.3">
      <c r="D40" s="5" t="s">
        <v>64</v>
      </c>
      <c r="E40" s="5" t="s">
        <v>78</v>
      </c>
      <c r="F40" s="2" t="s">
        <v>61</v>
      </c>
      <c r="H40" s="53" t="s">
        <v>55</v>
      </c>
    </row>
    <row r="41" spans="4:8" ht="28" x14ac:dyDescent="0.3">
      <c r="D41" s="2" t="s">
        <v>55</v>
      </c>
      <c r="E41" s="2" t="s">
        <v>83</v>
      </c>
      <c r="F41" s="2" t="s">
        <v>61</v>
      </c>
      <c r="H41" s="54" t="s">
        <v>10</v>
      </c>
    </row>
    <row r="42" spans="4:8" ht="28" x14ac:dyDescent="0.3">
      <c r="D42" s="2" t="s">
        <v>44</v>
      </c>
      <c r="E42" s="2" t="s">
        <v>67</v>
      </c>
      <c r="F42" s="2" t="s">
        <v>61</v>
      </c>
      <c r="H42" s="53" t="s">
        <v>49</v>
      </c>
    </row>
    <row r="43" spans="4:8" x14ac:dyDescent="0.3">
      <c r="D43" s="2" t="s">
        <v>1</v>
      </c>
      <c r="E43" s="2" t="s">
        <v>58</v>
      </c>
      <c r="F43" s="2" t="s">
        <v>61</v>
      </c>
      <c r="H43" s="53" t="s">
        <v>8</v>
      </c>
    </row>
    <row r="44" spans="4:8" x14ac:dyDescent="0.3">
      <c r="D44" s="2" t="s">
        <v>10</v>
      </c>
      <c r="E44" s="2" t="s">
        <v>60</v>
      </c>
      <c r="F44" s="2" t="s">
        <v>61</v>
      </c>
      <c r="H44" s="53" t="s">
        <v>57</v>
      </c>
    </row>
    <row r="45" spans="4:8" ht="28" x14ac:dyDescent="0.3">
      <c r="D45" s="2" t="s">
        <v>11</v>
      </c>
      <c r="E45" s="2" t="s">
        <v>12</v>
      </c>
      <c r="F45" s="2" t="s">
        <v>61</v>
      </c>
      <c r="H45" s="53" t="s">
        <v>3</v>
      </c>
    </row>
    <row r="46" spans="4:8" ht="56" x14ac:dyDescent="0.3">
      <c r="D46" s="2" t="s">
        <v>49</v>
      </c>
      <c r="E46" s="2" t="s">
        <v>84</v>
      </c>
      <c r="F46" s="2" t="s">
        <v>61</v>
      </c>
    </row>
    <row r="47" spans="4:8" ht="56" x14ac:dyDescent="0.3">
      <c r="D47" s="3" t="s">
        <v>62</v>
      </c>
      <c r="E47" s="3" t="s">
        <v>63</v>
      </c>
      <c r="F47" s="2" t="s">
        <v>61</v>
      </c>
    </row>
    <row r="48" spans="4:8" ht="28" x14ac:dyDescent="0.3">
      <c r="D48" s="2" t="s">
        <v>8</v>
      </c>
      <c r="E48" s="2" t="s">
        <v>60</v>
      </c>
      <c r="F48" s="2" t="s">
        <v>61</v>
      </c>
    </row>
    <row r="49" spans="4:6" x14ac:dyDescent="0.3">
      <c r="D49" s="2" t="s">
        <v>57</v>
      </c>
      <c r="E49" s="2" t="s">
        <v>65</v>
      </c>
      <c r="F49" s="2" t="s">
        <v>61</v>
      </c>
    </row>
    <row r="50" spans="4:6" x14ac:dyDescent="0.3">
      <c r="D50" s="2" t="s">
        <v>3</v>
      </c>
      <c r="E50" s="2" t="s">
        <v>82</v>
      </c>
      <c r="F50" s="2" t="s">
        <v>61</v>
      </c>
    </row>
    <row r="51" spans="4:6" ht="28" x14ac:dyDescent="0.3">
      <c r="D51" s="2" t="s">
        <v>6</v>
      </c>
      <c r="E51" s="2" t="s">
        <v>66</v>
      </c>
      <c r="F51" s="2" t="s">
        <v>61</v>
      </c>
    </row>
    <row r="52" spans="4:6" x14ac:dyDescent="0.3">
      <c r="D52" s="2" t="s">
        <v>56</v>
      </c>
      <c r="E52" s="3" t="s">
        <v>59</v>
      </c>
      <c r="F52" s="5" t="s">
        <v>61</v>
      </c>
    </row>
  </sheetData>
  <sortState xmlns:xlrd2="http://schemas.microsoft.com/office/spreadsheetml/2017/richdata2" ref="D38:D52">
    <sortCondition ref="D38:D52"/>
  </sortState>
  <mergeCells count="2">
    <mergeCell ref="D18:F18"/>
    <mergeCell ref="D36:F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D8454A-DD0D-4D8A-8D88-8C06C4F8F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6EA5C-F582-46CA-9DCF-CE8F36AA868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fb0879af-3eba-417a-a55a-ffe6dcd6ca77"/>
    <ds:schemaRef ds:uri="6dc4bcd6-49db-4c07-9060-8acfc67cef9f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7C0869-4BDB-4724-9D56-F02676751B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Statement of Work</vt:lpstr>
      <vt:lpstr>Hidden Doc</vt:lpstr>
      <vt:lpstr>'Statement of Work'!ColumnTitle1</vt:lpstr>
      <vt:lpstr>'Statement of Work'!Mileage_Total</vt:lpstr>
      <vt:lpstr>'Statement of Work'!Print_Area</vt:lpstr>
      <vt:lpstr>'Statement of Work'!Print_Titles</vt:lpstr>
      <vt:lpstr>'Statement of Work'!Reimbursement_Total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Ravishankar, Arpitha</dc:creator>
  <cp:lastModifiedBy>Sridhar, Ravishankar</cp:lastModifiedBy>
  <cp:lastPrinted>2022-02-01T22:49:14Z</cp:lastPrinted>
  <dcterms:created xsi:type="dcterms:W3CDTF">2018-08-23T13:31:35Z</dcterms:created>
  <dcterms:modified xsi:type="dcterms:W3CDTF">2022-04-11T18:42:58Z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  <property fmtid="{D5CDD505-2E9C-101B-9397-08002B2CF9AE}" pid="3" name="MSIP_Label_045d55e0-9b4f-4751-9eb7-44d6f7b5b307_Enabled">
    <vt:lpwstr>true</vt:lpwstr>
  </property>
  <property fmtid="{D5CDD505-2E9C-101B-9397-08002B2CF9AE}" pid="4" name="MSIP_Label_045d55e0-9b4f-4751-9eb7-44d6f7b5b307_SetDate">
    <vt:lpwstr>2020-10-28T20:58:00Z</vt:lpwstr>
  </property>
  <property fmtid="{D5CDD505-2E9C-101B-9397-08002B2CF9AE}" pid="5" name="MSIP_Label_045d55e0-9b4f-4751-9eb7-44d6f7b5b307_Method">
    <vt:lpwstr>Standard</vt:lpwstr>
  </property>
  <property fmtid="{D5CDD505-2E9C-101B-9397-08002B2CF9AE}" pid="6" name="MSIP_Label_045d55e0-9b4f-4751-9eb7-44d6f7b5b307_Name">
    <vt:lpwstr>045d55e0-9b4f-4751-9eb7-44d6f7b5b307</vt:lpwstr>
  </property>
  <property fmtid="{D5CDD505-2E9C-101B-9397-08002B2CF9AE}" pid="7" name="MSIP_Label_045d55e0-9b4f-4751-9eb7-44d6f7b5b307_SiteId">
    <vt:lpwstr>c45b48f3-13bb-448b-9356-ba7b863c2189</vt:lpwstr>
  </property>
  <property fmtid="{D5CDD505-2E9C-101B-9397-08002B2CF9AE}" pid="8" name="MSIP_Label_045d55e0-9b4f-4751-9eb7-44d6f7b5b307_ActionId">
    <vt:lpwstr>219317b0-0a7e-4f1e-9dd0-4256400c0e8a</vt:lpwstr>
  </property>
  <property fmtid="{D5CDD505-2E9C-101B-9397-08002B2CF9AE}" pid="9" name="MSIP_Label_045d55e0-9b4f-4751-9eb7-44d6f7b5b307_ContentBits">
    <vt:lpwstr>0</vt:lpwstr>
  </property>
</Properties>
</file>